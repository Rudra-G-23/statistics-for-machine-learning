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\Documents\"/>
    </mc:Choice>
  </mc:AlternateContent>
  <xr:revisionPtr revIDLastSave="0" documentId="8_{646D4BFB-2837-48DD-9891-518FB8EE13C9}" xr6:coauthVersionLast="47" xr6:coauthVersionMax="47" xr10:uidLastSave="{00000000-0000-0000-0000-000000000000}"/>
  <bookViews>
    <workbookView xWindow="-108" yWindow="-108" windowWidth="23256" windowHeight="12456" xr2:uid="{315CA39A-C348-434D-B8F0-CFEA34CD8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6" i="1"/>
  <c r="E47" i="1"/>
  <c r="E48" i="1"/>
  <c r="E49" i="1"/>
  <c r="E50" i="1"/>
  <c r="E45" i="1"/>
  <c r="E44" i="1"/>
  <c r="E43" i="1"/>
  <c r="E42" i="1"/>
  <c r="D52" i="1"/>
  <c r="X3" i="1"/>
  <c r="W12" i="1"/>
  <c r="X11" i="1" s="1"/>
  <c r="T7" i="1"/>
  <c r="U3" i="1" s="1"/>
  <c r="P7" i="1"/>
  <c r="Q6" i="1" s="1"/>
  <c r="M3" i="1"/>
  <c r="L6" i="1"/>
  <c r="M5" i="1" s="1"/>
  <c r="I5" i="1"/>
  <c r="H8" i="1"/>
  <c r="I7" i="1" s="1"/>
  <c r="C6" i="1"/>
  <c r="D4" i="1" s="1"/>
  <c r="M4" i="1" l="1"/>
  <c r="U5" i="1"/>
  <c r="D5" i="1"/>
  <c r="X4" i="1"/>
  <c r="X5" i="1"/>
  <c r="D3" i="1"/>
  <c r="D6" i="1" s="1"/>
  <c r="Q3" i="1"/>
  <c r="X6" i="1"/>
  <c r="Q4" i="1"/>
  <c r="X7" i="1"/>
  <c r="I3" i="1"/>
  <c r="Q5" i="1"/>
  <c r="X8" i="1"/>
  <c r="I4" i="1"/>
  <c r="X9" i="1"/>
  <c r="X10" i="1"/>
  <c r="I6" i="1"/>
  <c r="U4" i="1"/>
  <c r="U6" i="1"/>
</calcChain>
</file>

<file path=xl/sharedStrings.xml><?xml version="1.0" encoding="utf-8"?>
<sst xmlns="http://schemas.openxmlformats.org/spreadsheetml/2006/main" count="59" uniqueCount="57">
  <si>
    <t>CBS</t>
  </si>
  <si>
    <t>ABC</t>
  </si>
  <si>
    <t>Fox</t>
  </si>
  <si>
    <t>name</t>
  </si>
  <si>
    <t>feq</t>
  </si>
  <si>
    <t>r-feq</t>
  </si>
  <si>
    <t>Iowa</t>
  </si>
  <si>
    <t>Iowa St.</t>
  </si>
  <si>
    <t>Arizona St.</t>
  </si>
  <si>
    <t>Minnesota</t>
  </si>
  <si>
    <t>Oklahoma St.</t>
  </si>
  <si>
    <t>ENG</t>
  </si>
  <si>
    <t>BUS</t>
  </si>
  <si>
    <t>LIB</t>
  </si>
  <si>
    <t>So</t>
  </si>
  <si>
    <t>Jr</t>
  </si>
  <si>
    <t>Fr</t>
  </si>
  <si>
    <t>Sr</t>
  </si>
  <si>
    <t>SO</t>
  </si>
  <si>
    <t>WE</t>
  </si>
  <si>
    <t>MW</t>
  </si>
  <si>
    <t>NE</t>
  </si>
  <si>
    <t>F</t>
  </si>
  <si>
    <t>Tu</t>
  </si>
  <si>
    <t>Su</t>
  </si>
  <si>
    <t>Sa</t>
  </si>
  <si>
    <t>Th</t>
  </si>
  <si>
    <t>W</t>
  </si>
  <si>
    <t>M</t>
  </si>
  <si>
    <t>total</t>
  </si>
  <si>
    <t>EX-2.2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</si>
  <si>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</si>
  <si>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</si>
  <si>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</si>
  <si>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</si>
  <si>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</si>
  <si>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</si>
  <si>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</si>
  <si>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</si>
  <si>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</si>
  <si>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</si>
  <si>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12-under 13</t>
  </si>
  <si>
    <t>13-under 14</t>
  </si>
  <si>
    <t>14-under 15</t>
  </si>
  <si>
    <t>15-under 16</t>
  </si>
  <si>
    <t>16-under 17</t>
  </si>
  <si>
    <t>17-under 18</t>
  </si>
  <si>
    <t>18-under 19</t>
  </si>
  <si>
    <t>19-under 20</t>
  </si>
  <si>
    <t>14 - 16</t>
  </si>
  <si>
    <t>16 - 18</t>
  </si>
  <si>
    <t>18 - 20</t>
  </si>
  <si>
    <t>20 - 22</t>
  </si>
  <si>
    <t>22 - 24</t>
  </si>
  <si>
    <t>24 - 26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</si>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</sst>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0" borderId="0" xfId="0" applyFont="1"/>
    <xf numFmtId="0" fontId="2" fillId="3" borderId="0" xfId="0" applyFont="1" applyFill="1" applyAlignment="1">
      <alignment horizontal="center"/>
    </xf>
    <xf numFmtId="17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65000"/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tint val="65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Sheet1!$D$3:$D$5</c:f>
              <c:numCache>
                <c:formatCode>General</c:formatCode>
                <c:ptCount val="3"/>
                <c:pt idx="0">
                  <c:v>0.5</c:v>
                </c:pt>
                <c:pt idx="1">
                  <c:v>0.29166666666666669</c:v>
                </c:pt>
                <c:pt idx="2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0-4AD9-AC3B-B72E6B320F8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8218561208527"/>
          <c:y val="0.26996632996632997"/>
          <c:w val="0.8452238825508408"/>
          <c:h val="0.594018399215249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Sheet1!$D$3:$D$5</c:f>
              <c:numCache>
                <c:formatCode>General</c:formatCode>
                <c:ptCount val="3"/>
                <c:pt idx="0">
                  <c:v>0.5</c:v>
                </c:pt>
                <c:pt idx="1">
                  <c:v>0.29166666666666669</c:v>
                </c:pt>
                <c:pt idx="2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8-4CAC-893C-E4040B192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900704"/>
        <c:axId val="1349902144"/>
      </c:barChart>
      <c:catAx>
        <c:axId val="13499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02144"/>
        <c:crosses val="autoZero"/>
        <c:auto val="1"/>
        <c:lblAlgn val="ctr"/>
        <c:lblOffset val="100"/>
        <c:noMultiLvlLbl val="0"/>
      </c:catAx>
      <c:valAx>
        <c:axId val="13499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Sheet1!$I$3:$I$7</c:f>
              <c:numCache>
                <c:formatCode>General</c:formatCode>
                <c:ptCount val="5"/>
                <c:pt idx="0">
                  <c:v>0.54166666666666663</c:v>
                </c:pt>
                <c:pt idx="1">
                  <c:v>4.1666666666666664E-2</c:v>
                </c:pt>
                <c:pt idx="2">
                  <c:v>1</c:v>
                </c:pt>
                <c:pt idx="3">
                  <c:v>0.16666666666666666</c:v>
                </c:pt>
                <c:pt idx="4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3-4BFF-BDC3-9675971E527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09411393197436E-2"/>
          <c:y val="0.23029750627999146"/>
          <c:w val="0.8476927040561647"/>
          <c:h val="0.56253417429475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Sheet1!$I$3:$I$7</c:f>
              <c:numCache>
                <c:formatCode>General</c:formatCode>
                <c:ptCount val="5"/>
                <c:pt idx="0">
                  <c:v>0.54166666666666663</c:v>
                </c:pt>
                <c:pt idx="1">
                  <c:v>4.1666666666666664E-2</c:v>
                </c:pt>
                <c:pt idx="2">
                  <c:v>1</c:v>
                </c:pt>
                <c:pt idx="3">
                  <c:v>0.16666666666666666</c:v>
                </c:pt>
                <c:pt idx="4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E-4072-AFDD-B3A45539EA7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1571783216"/>
        <c:axId val="1571783696"/>
      </c:barChart>
      <c:catAx>
        <c:axId val="157178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83696"/>
        <c:crosses val="autoZero"/>
        <c:auto val="1"/>
        <c:lblAlgn val="ctr"/>
        <c:lblOffset val="100"/>
        <c:noMultiLvlLbl val="0"/>
      </c:catAx>
      <c:valAx>
        <c:axId val="1571783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8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46-479F-A722-1610D6C5AC0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46-479F-A722-1610D6C5AC0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46-479F-A722-1610D6C5AC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Sheet1!$M$3:$M$5</c:f>
              <c:numCache>
                <c:formatCode>General</c:formatCode>
                <c:ptCount val="3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6-479F-A722-1610D6C5AC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Sheet1!$M$3:$M$5</c:f>
              <c:numCache>
                <c:formatCode>General</c:formatCode>
                <c:ptCount val="3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1-43BA-9AE6-53ACD524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535008"/>
        <c:axId val="1577533568"/>
      </c:barChart>
      <c:catAx>
        <c:axId val="157753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33568"/>
        <c:crosses val="autoZero"/>
        <c:auto val="1"/>
        <c:lblAlgn val="ctr"/>
        <c:lblOffset val="100"/>
        <c:noMultiLvlLbl val="0"/>
      </c:catAx>
      <c:valAx>
        <c:axId val="15775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3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5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Sheet1!$X$3:$X$11</c:f>
              <c:numCache>
                <c:formatCode>General</c:formatCode>
                <c:ptCount val="9"/>
                <c:pt idx="0">
                  <c:v>0.23170731707317074</c:v>
                </c:pt>
                <c:pt idx="1">
                  <c:v>0.15853658536585366</c:v>
                </c:pt>
                <c:pt idx="2">
                  <c:v>7.3170731707317069E-2</c:v>
                </c:pt>
                <c:pt idx="3">
                  <c:v>7.3170731707317069E-2</c:v>
                </c:pt>
                <c:pt idx="4">
                  <c:v>0.12195121951219512</c:v>
                </c:pt>
                <c:pt idx="5">
                  <c:v>0.12195121951219512</c:v>
                </c:pt>
                <c:pt idx="6">
                  <c:v>8.5365853658536592E-2</c:v>
                </c:pt>
                <c:pt idx="7">
                  <c:v>7.3170731707317069E-2</c:v>
                </c:pt>
                <c:pt idx="8">
                  <c:v>6.097560975609756E-2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E-4CEE-9336-2F8871EE018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5">
      <a:fgClr>
        <a:schemeClr val="accent1"/>
      </a:fgClr>
      <a:bgClr>
        <a:schemeClr val="bg1"/>
      </a:bgClr>
    </a:patt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3930555555555557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Sheet1!$X$3:$X$11</c:f>
              <c:numCache>
                <c:formatCode>General</c:formatCode>
                <c:ptCount val="9"/>
                <c:pt idx="0">
                  <c:v>0.23170731707317074</c:v>
                </c:pt>
                <c:pt idx="1">
                  <c:v>0.15853658536585366</c:v>
                </c:pt>
                <c:pt idx="2">
                  <c:v>7.3170731707317069E-2</c:v>
                </c:pt>
                <c:pt idx="3">
                  <c:v>7.3170731707317069E-2</c:v>
                </c:pt>
                <c:pt idx="4">
                  <c:v>0.12195121951219512</c:v>
                </c:pt>
                <c:pt idx="5">
                  <c:v>0.12195121951219512</c:v>
                </c:pt>
                <c:pt idx="6">
                  <c:v>8.5365853658536592E-2</c:v>
                </c:pt>
                <c:pt idx="7">
                  <c:v>7.3170731707317069E-2</c:v>
                </c:pt>
                <c:pt idx="8">
                  <c:v>6.097560975609756E-2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0-42A0-885D-508C84CA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034640"/>
        <c:axId val="1576035120"/>
      </c:barChart>
      <c:catAx>
        <c:axId val="1576034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35120"/>
        <c:crosses val="autoZero"/>
        <c:auto val="1"/>
        <c:lblAlgn val="ctr"/>
        <c:lblOffset val="100"/>
        <c:noMultiLvlLbl val="0"/>
      </c:catAx>
      <c:valAx>
        <c:axId val="157603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3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Sheet1!$U$3:$U$6</c:f>
              <c:numCache>
                <c:formatCode>General</c:formatCode>
                <c:ptCount val="4"/>
                <c:pt idx="0">
                  <c:v>0.31818181818181818</c:v>
                </c:pt>
                <c:pt idx="1">
                  <c:v>0.31818181818181818</c:v>
                </c:pt>
                <c:pt idx="2">
                  <c:v>0.20454545454545456</c:v>
                </c:pt>
                <c:pt idx="3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B-40D4-B3C0-764B2807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Sheet1!$U$3:$U$6</c:f>
              <c:numCache>
                <c:formatCode>General</c:formatCode>
                <c:ptCount val="4"/>
                <c:pt idx="0">
                  <c:v>0.31818181818181818</c:v>
                </c:pt>
                <c:pt idx="1">
                  <c:v>0.31818181818181818</c:v>
                </c:pt>
                <c:pt idx="2">
                  <c:v>0.20454545454545456</c:v>
                </c:pt>
                <c:pt idx="3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6-4D83-BBD3-939638912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097888"/>
        <c:axId val="1446099808"/>
      </c:barChart>
      <c:catAx>
        <c:axId val="1446097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99808"/>
        <c:crosses val="autoZero"/>
        <c:auto val="1"/>
        <c:lblAlgn val="ctr"/>
        <c:lblOffset val="100"/>
        <c:noMultiLvlLbl val="0"/>
      </c:catAx>
      <c:valAx>
        <c:axId val="14460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Sheet1!$Q$3:$Q$6</c:f>
              <c:numCache>
                <c:formatCode>General</c:formatCode>
                <c:ptCount val="4"/>
                <c:pt idx="0">
                  <c:v>0.38235294117647056</c:v>
                </c:pt>
                <c:pt idx="1">
                  <c:v>0.29411764705882354</c:v>
                </c:pt>
                <c:pt idx="2">
                  <c:v>0.11764705882352941</c:v>
                </c:pt>
                <c:pt idx="3">
                  <c:v>0.20588235294117646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3-4771-8F78-EFD6D8FB91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200000" sy="200000" algn="ctr" rotWithShape="0">
        <a:srgbClr val="000000">
          <a:alpha val="3000"/>
        </a:srgbClr>
      </a:outerShdw>
      <a:softEdge rad="673100"/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Sheet1!$Q$3:$Q$6</c:f>
              <c:numCache>
                <c:formatCode>General</c:formatCode>
                <c:ptCount val="4"/>
                <c:pt idx="0">
                  <c:v>0.38235294117647056</c:v>
                </c:pt>
                <c:pt idx="1">
                  <c:v>0.29411764705882354</c:v>
                </c:pt>
                <c:pt idx="2">
                  <c:v>0.11764705882352941</c:v>
                </c:pt>
                <c:pt idx="3">
                  <c:v>0.20588235294117646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6-4798-81DA-0800E931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904832"/>
        <c:axId val="1446831952"/>
      </c:barChart>
      <c:catAx>
        <c:axId val="157590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31952"/>
        <c:crosses val="autoZero"/>
        <c:auto val="1"/>
        <c:lblAlgn val="ctr"/>
        <c:lblOffset val="100"/>
        <c:noMultiLvlLbl val="0"/>
      </c:catAx>
      <c:valAx>
        <c:axId val="14468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0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7</xdr:row>
      <xdr:rowOff>22860</xdr:rowOff>
    </xdr:from>
    <xdr:to>
      <xdr:col>4</xdr:col>
      <xdr:colOff>277906</xdr:colOff>
      <xdr:row>15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9F3E5-FA4E-0AA4-D472-44C8EE054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174811</xdr:colOff>
      <xdr:row>16</xdr:row>
      <xdr:rowOff>28463</xdr:rowOff>
    </xdr:from>
    <xdr:to>
      <xdr:col>4</xdr:col>
      <xdr:colOff>152399</xdr:colOff>
      <xdr:row>27</xdr:row>
      <xdr:rowOff>8965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FE62A8-A081-6553-068E-4D53138E2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459988</xdr:colOff>
      <xdr:row>8</xdr:row>
      <xdr:rowOff>47629</xdr:rowOff>
    </xdr:from>
    <xdr:to>
      <xdr:col>8</xdr:col>
      <xdr:colOff>582706</xdr:colOff>
      <xdr:row>21</xdr:row>
      <xdr:rowOff>98611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1EE197-5CF0-E4F7-03E2-D5D38A415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48747</xdr:colOff>
      <xdr:row>21</xdr:row>
      <xdr:rowOff>89647</xdr:rowOff>
    </xdr:from>
    <xdr:to>
      <xdr:col>9</xdr:col>
      <xdr:colOff>296397</xdr:colOff>
      <xdr:row>33</xdr:row>
      <xdr:rowOff>161367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6E52B9-4B98-73BD-DD30-57697C5E5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268942</xdr:colOff>
      <xdr:row>8</xdr:row>
      <xdr:rowOff>26192</xdr:rowOff>
    </xdr:from>
    <xdr:to>
      <xdr:col>13</xdr:col>
      <xdr:colOff>179296</xdr:colOff>
      <xdr:row>19</xdr:row>
      <xdr:rowOff>33337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F1D46-EAE3-258C-FF15-719CBDDE4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116541</xdr:colOff>
      <xdr:row>19</xdr:row>
      <xdr:rowOff>170330</xdr:rowOff>
    </xdr:from>
    <xdr:to>
      <xdr:col>13</xdr:col>
      <xdr:colOff>385482</xdr:colOff>
      <xdr:row>30</xdr:row>
      <xdr:rowOff>66955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5A466C-9802-AE0A-DD23-F51161E58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12</xdr:row>
      <xdr:rowOff>35859</xdr:rowOff>
    </xdr:from>
    <xdr:to>
      <xdr:col>24</xdr:col>
      <xdr:colOff>347661</xdr:colOff>
      <xdr:row>26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B743AF-8ACE-1A29-C79E-66C5DD06D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352743</xdr:colOff>
      <xdr:row>23</xdr:row>
      <xdr:rowOff>152400</xdr:rowOff>
    </xdr:from>
    <xdr:to>
      <xdr:col>26</xdr:col>
      <xdr:colOff>100330</xdr:colOff>
      <xdr:row>35</xdr:row>
      <xdr:rowOff>162244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D12F58-DD42-3F91-76EF-562A200D9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171449</xdr:colOff>
      <xdr:row>6</xdr:row>
      <xdr:rowOff>188119</xdr:rowOff>
    </xdr:from>
    <xdr:to>
      <xdr:col>20</xdr:col>
      <xdr:colOff>457199</xdr:colOff>
      <xdr:row>18</xdr:row>
      <xdr:rowOff>4763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0E271F-E0C5-CBE3-8BB3-22A9EEE16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591671</xdr:colOff>
      <xdr:row>19</xdr:row>
      <xdr:rowOff>178593</xdr:rowOff>
    </xdr:from>
    <xdr:to>
      <xdr:col>20</xdr:col>
      <xdr:colOff>286871</xdr:colOff>
      <xdr:row>29</xdr:row>
      <xdr:rowOff>100011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B3B0FE-20B7-2C1A-CCD2-0DDC5C09A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331695</xdr:colOff>
      <xdr:row>6</xdr:row>
      <xdr:rowOff>111918</xdr:rowOff>
    </xdr:from>
    <xdr:to>
      <xdr:col>17</xdr:col>
      <xdr:colOff>95250</xdr:colOff>
      <xdr:row>17</xdr:row>
      <xdr:rowOff>143436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4F7AF96-796F-477B-B834-F265FFE41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271181</xdr:colOff>
      <xdr:row>17</xdr:row>
      <xdr:rowOff>135029</xdr:rowOff>
    </xdr:from>
    <xdr:to>
      <xdr:col>17</xdr:col>
      <xdr:colOff>170328</xdr:colOff>
      <xdr:row>33</xdr:row>
      <xdr:rowOff>143436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417A675-32D2-036C-194D-73BA4859A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7C85-8172-40D3-8BB3-32906DCC0989}">
  <dimension ref="A1:X52"/>
  <sheetViews>
    <sheetView tabSelected="1" topLeftCell="A38" zoomScale="160" zoomScaleNormal="160" workbookViewId="0">
      <selection activeCell="E52" sqref="E52"/>
    </sheetView>
  </sheetViews>
  <sheetFormatPr defaultRowHeight="14.4" x14ac:dyDescent="0.3"/>
  <cols>
    <col min="2" max="2" width="5.88671875" bestFit="1" customWidth="1"/>
    <col min="4" max="4" width="12.44140625" bestFit="1" customWidth="1"/>
    <col min="7" max="7" width="15.77734375" bestFit="1" customWidth="1"/>
    <col min="8" max="8" width="14.77734375" bestFit="1" customWidth="1"/>
    <col min="9" max="9" width="12.44140625" bestFit="1" customWidth="1"/>
    <col min="17" max="17" width="12.44140625" bestFit="1" customWidth="1"/>
    <col min="21" max="21" width="12.44140625" bestFit="1" customWidth="1"/>
    <col min="24" max="24" width="12.44140625" bestFit="1" customWidth="1"/>
  </cols>
  <sheetData>
    <row r="1" spans="1:24" ht="18" x14ac:dyDescent="0.35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3">
      <c r="A2" s="4"/>
      <c r="B2" t="s">
        <v>3</v>
      </c>
      <c r="C2" t="s">
        <v>4</v>
      </c>
      <c r="D2" t="s">
        <v>5</v>
      </c>
    </row>
    <row r="3" spans="1:24" ht="15" x14ac:dyDescent="0.3">
      <c r="B3" s="2" t="s">
        <v>0</v>
      </c>
      <c r="C3" s="3">
        <v>12</v>
      </c>
      <c r="D3" s="3">
        <f>C3/C6</f>
        <v>0.5</v>
      </c>
      <c r="G3" s="2" t="s">
        <v>6</v>
      </c>
      <c r="H3" s="3">
        <v>13</v>
      </c>
      <c r="I3" s="3">
        <f>H3/H8</f>
        <v>0.54166666666666663</v>
      </c>
      <c r="K3" s="2" t="s">
        <v>11</v>
      </c>
      <c r="L3" s="3">
        <v>10</v>
      </c>
      <c r="M3" s="3">
        <f>L3/L6</f>
        <v>0.5</v>
      </c>
      <c r="O3" s="2" t="s">
        <v>14</v>
      </c>
      <c r="P3" s="3">
        <v>13</v>
      </c>
      <c r="Q3" s="3">
        <f>P3/P7</f>
        <v>0.38235294117647056</v>
      </c>
      <c r="S3" s="2" t="s">
        <v>18</v>
      </c>
      <c r="T3" s="3">
        <v>14</v>
      </c>
      <c r="U3" s="3">
        <f>T3/T7</f>
        <v>0.31818181818181818</v>
      </c>
      <c r="V3" s="2" t="s">
        <v>22</v>
      </c>
      <c r="W3" s="3">
        <v>19</v>
      </c>
      <c r="X3" s="3">
        <f>19/82</f>
        <v>0.23170731707317074</v>
      </c>
    </row>
    <row r="4" spans="1:24" ht="15" x14ac:dyDescent="0.3">
      <c r="B4" s="2" t="s">
        <v>1</v>
      </c>
      <c r="C4" s="3">
        <v>7</v>
      </c>
      <c r="D4" s="3">
        <f>C4/C6</f>
        <v>0.29166666666666669</v>
      </c>
      <c r="G4" s="2" t="s">
        <v>7</v>
      </c>
      <c r="H4" s="3">
        <v>1</v>
      </c>
      <c r="I4" s="3">
        <f>H4/H8</f>
        <v>4.1666666666666664E-2</v>
      </c>
      <c r="K4" s="2" t="s">
        <v>12</v>
      </c>
      <c r="L4" s="3">
        <v>6</v>
      </c>
      <c r="M4" s="3">
        <f>L4/L6</f>
        <v>0.3</v>
      </c>
      <c r="O4" s="2" t="s">
        <v>15</v>
      </c>
      <c r="P4" s="3">
        <v>10</v>
      </c>
      <c r="Q4" s="3">
        <f>P4/P7</f>
        <v>0.29411764705882354</v>
      </c>
      <c r="S4" s="2" t="s">
        <v>19</v>
      </c>
      <c r="T4" s="3">
        <v>14</v>
      </c>
      <c r="U4" s="3">
        <f>T4/T7</f>
        <v>0.31818181818181818</v>
      </c>
      <c r="V4" s="2" t="s">
        <v>23</v>
      </c>
      <c r="W4" s="3">
        <v>13</v>
      </c>
      <c r="X4" s="3">
        <f>W4/W12</f>
        <v>0.15853658536585366</v>
      </c>
    </row>
    <row r="5" spans="1:24" ht="15" x14ac:dyDescent="0.3">
      <c r="B5" s="2" t="s">
        <v>2</v>
      </c>
      <c r="C5" s="3">
        <v>5</v>
      </c>
      <c r="D5" s="3">
        <f>C5/C6</f>
        <v>0.20833333333333334</v>
      </c>
      <c r="G5" s="2" t="s">
        <v>8</v>
      </c>
      <c r="H5" s="3">
        <v>1</v>
      </c>
      <c r="I5" s="3">
        <f>H5/H5</f>
        <v>1</v>
      </c>
      <c r="K5" s="2" t="s">
        <v>13</v>
      </c>
      <c r="L5" s="3">
        <v>4</v>
      </c>
      <c r="M5" s="3">
        <f>L5/L6</f>
        <v>0.2</v>
      </c>
      <c r="O5" s="2" t="s">
        <v>16</v>
      </c>
      <c r="P5" s="3">
        <v>4</v>
      </c>
      <c r="Q5" s="3">
        <f>P5/P7</f>
        <v>0.11764705882352941</v>
      </c>
      <c r="S5" s="2" t="s">
        <v>20</v>
      </c>
      <c r="T5" s="3">
        <v>9</v>
      </c>
      <c r="U5" s="3">
        <f>T5/T7</f>
        <v>0.20454545454545456</v>
      </c>
      <c r="V5" s="2" t="s">
        <v>24</v>
      </c>
      <c r="W5" s="3">
        <v>6</v>
      </c>
      <c r="X5" s="3">
        <f>W5/W12</f>
        <v>7.3170731707317069E-2</v>
      </c>
    </row>
    <row r="6" spans="1:24" ht="15" x14ac:dyDescent="0.3">
      <c r="C6">
        <f>SUM(C3:C5)</f>
        <v>24</v>
      </c>
      <c r="D6">
        <f>SUM(D3:D5)</f>
        <v>1</v>
      </c>
      <c r="G6" s="2" t="s">
        <v>9</v>
      </c>
      <c r="H6" s="3">
        <v>4</v>
      </c>
      <c r="I6" s="3">
        <f>H6/H8</f>
        <v>0.16666666666666666</v>
      </c>
      <c r="K6" s="3"/>
      <c r="L6" s="3">
        <f>SUM(L3:L5)</f>
        <v>20</v>
      </c>
      <c r="M6" s="3"/>
      <c r="O6" s="2" t="s">
        <v>17</v>
      </c>
      <c r="P6" s="3">
        <v>7</v>
      </c>
      <c r="Q6" s="3">
        <f>P6/P7</f>
        <v>0.20588235294117646</v>
      </c>
      <c r="S6" s="2" t="s">
        <v>21</v>
      </c>
      <c r="T6" s="3">
        <v>7</v>
      </c>
      <c r="U6" s="3">
        <f>T6/T7</f>
        <v>0.15909090909090909</v>
      </c>
      <c r="V6" s="2" t="s">
        <v>25</v>
      </c>
      <c r="W6" s="3">
        <v>6</v>
      </c>
      <c r="X6" s="3">
        <f>W6/W12</f>
        <v>7.3170731707317069E-2</v>
      </c>
    </row>
    <row r="7" spans="1:24" ht="15" x14ac:dyDescent="0.3">
      <c r="G7" s="2" t="s">
        <v>10</v>
      </c>
      <c r="H7" s="3">
        <v>5</v>
      </c>
      <c r="I7" s="3">
        <f>H7/H8</f>
        <v>0.20833333333333334</v>
      </c>
      <c r="P7">
        <f>SUM(P3:P6)</f>
        <v>34</v>
      </c>
      <c r="S7" s="1" t="s">
        <v>29</v>
      </c>
      <c r="T7">
        <f>SUM(T3:T6)</f>
        <v>44</v>
      </c>
      <c r="V7" s="2" t="s">
        <v>26</v>
      </c>
      <c r="W7" s="3">
        <v>10</v>
      </c>
      <c r="X7" s="3">
        <f>W7/W12</f>
        <v>0.12195121951219512</v>
      </c>
    </row>
    <row r="8" spans="1:24" ht="15" x14ac:dyDescent="0.3">
      <c r="H8">
        <f>SUM(H3:H7)</f>
        <v>24</v>
      </c>
      <c r="V8" s="2" t="s">
        <v>27</v>
      </c>
      <c r="W8" s="3">
        <v>10</v>
      </c>
      <c r="X8" s="3">
        <f>W8/W12</f>
        <v>0.12195121951219512</v>
      </c>
    </row>
    <row r="9" spans="1:24" ht="15" x14ac:dyDescent="0.3">
      <c r="V9" s="2" t="s">
        <v>26</v>
      </c>
      <c r="W9" s="3">
        <v>7</v>
      </c>
      <c r="X9" s="3">
        <f>W9/W12</f>
        <v>8.5365853658536592E-2</v>
      </c>
    </row>
    <row r="10" spans="1:24" ht="15" x14ac:dyDescent="0.3">
      <c r="V10" s="2" t="s">
        <v>25</v>
      </c>
      <c r="W10" s="3">
        <v>6</v>
      </c>
      <c r="X10" s="3">
        <f>W10/W12</f>
        <v>7.3170731707317069E-2</v>
      </c>
    </row>
    <row r="11" spans="1:24" ht="15" x14ac:dyDescent="0.3">
      <c r="V11" s="2" t="s">
        <v>28</v>
      </c>
      <c r="W11" s="3">
        <v>5</v>
      </c>
      <c r="X11" s="3">
        <f>W11/W12</f>
        <v>6.097560975609756E-2</v>
      </c>
    </row>
    <row r="12" spans="1:24" x14ac:dyDescent="0.3">
      <c r="W12">
        <f>SUM(W3:W11)</f>
        <v>82</v>
      </c>
    </row>
    <row r="41" spans="3:14" x14ac:dyDescent="0.3">
      <c r="C41" s="4" t="s">
        <v>55</v>
      </c>
      <c r="D41" t="s">
        <v>56</v>
      </c>
    </row>
    <row r="42" spans="3:14" ht="15" x14ac:dyDescent="0.3">
      <c r="C42" s="1" t="s">
        <v>31</v>
      </c>
      <c r="D42">
        <v>3</v>
      </c>
      <c r="E42">
        <f>D42/D52</f>
        <v>4.4117647058823532E-2</v>
      </c>
      <c r="H42" s="1" t="s">
        <v>41</v>
      </c>
      <c r="I42">
        <v>5</v>
      </c>
      <c r="M42" s="6">
        <v>41974</v>
      </c>
      <c r="N42">
        <v>10</v>
      </c>
    </row>
    <row r="43" spans="3:14" ht="15" x14ac:dyDescent="0.3">
      <c r="C43" s="1" t="s">
        <v>32</v>
      </c>
      <c r="D43">
        <v>7</v>
      </c>
      <c r="E43">
        <f>D43/D52</f>
        <v>0.10294117647058823</v>
      </c>
      <c r="H43" s="1" t="s">
        <v>42</v>
      </c>
      <c r="I43">
        <v>4</v>
      </c>
      <c r="M43" s="1" t="s">
        <v>49</v>
      </c>
      <c r="N43">
        <v>8</v>
      </c>
    </row>
    <row r="44" spans="3:14" ht="15" x14ac:dyDescent="0.3">
      <c r="C44" s="1" t="s">
        <v>33</v>
      </c>
      <c r="D44">
        <v>7</v>
      </c>
      <c r="E44">
        <f>D44/D52</f>
        <v>0.10294117647058823</v>
      </c>
      <c r="H44" s="1" t="s">
        <v>43</v>
      </c>
      <c r="I44">
        <v>5</v>
      </c>
      <c r="M44" s="1" t="s">
        <v>50</v>
      </c>
      <c r="N44">
        <v>7</v>
      </c>
    </row>
    <row r="45" spans="3:14" ht="15" x14ac:dyDescent="0.3">
      <c r="C45" s="1" t="s">
        <v>34</v>
      </c>
      <c r="D45">
        <v>5</v>
      </c>
      <c r="E45">
        <f>D45/68</f>
        <v>7.3529411764705885E-2</v>
      </c>
      <c r="H45" s="1" t="s">
        <v>44</v>
      </c>
      <c r="I45">
        <v>4</v>
      </c>
      <c r="M45" s="1" t="s">
        <v>51</v>
      </c>
      <c r="N45">
        <v>8</v>
      </c>
    </row>
    <row r="46" spans="3:14" ht="15" x14ac:dyDescent="0.3">
      <c r="C46" s="1" t="s">
        <v>35</v>
      </c>
      <c r="D46">
        <v>8</v>
      </c>
      <c r="E46">
        <f t="shared" ref="E46:E51" si="0">D46/68</f>
        <v>0.11764705882352941</v>
      </c>
      <c r="H46" s="1" t="s">
        <v>45</v>
      </c>
      <c r="I46">
        <v>1</v>
      </c>
      <c r="M46" s="1" t="s">
        <v>52</v>
      </c>
      <c r="N46">
        <v>4</v>
      </c>
    </row>
    <row r="47" spans="3:14" ht="15" x14ac:dyDescent="0.3">
      <c r="C47" s="1" t="s">
        <v>36</v>
      </c>
      <c r="D47">
        <v>11</v>
      </c>
      <c r="E47">
        <f t="shared" si="0"/>
        <v>0.16176470588235295</v>
      </c>
      <c r="H47" s="1" t="s">
        <v>46</v>
      </c>
      <c r="I47">
        <v>1</v>
      </c>
      <c r="M47" s="1" t="s">
        <v>53</v>
      </c>
      <c r="N47">
        <v>3</v>
      </c>
    </row>
    <row r="48" spans="3:14" ht="15" x14ac:dyDescent="0.3">
      <c r="C48" s="1" t="s">
        <v>37</v>
      </c>
      <c r="D48">
        <v>8</v>
      </c>
      <c r="E48">
        <f t="shared" si="0"/>
        <v>0.11764705882352941</v>
      </c>
      <c r="H48" s="1" t="s">
        <v>47</v>
      </c>
      <c r="I48">
        <v>1</v>
      </c>
      <c r="M48" s="1" t="s">
        <v>54</v>
      </c>
      <c r="N48">
        <v>4</v>
      </c>
    </row>
    <row r="49" spans="3:9" ht="15" x14ac:dyDescent="0.3">
      <c r="C49" s="1" t="s">
        <v>38</v>
      </c>
      <c r="D49">
        <v>6</v>
      </c>
      <c r="E49">
        <f t="shared" si="0"/>
        <v>8.8235294117647065E-2</v>
      </c>
      <c r="H49" s="1" t="s">
        <v>48</v>
      </c>
      <c r="I49">
        <v>1</v>
      </c>
    </row>
    <row r="50" spans="3:9" ht="15" x14ac:dyDescent="0.3">
      <c r="C50" s="1" t="s">
        <v>39</v>
      </c>
      <c r="D50">
        <v>8</v>
      </c>
      <c r="E50">
        <f t="shared" si="0"/>
        <v>0.11764705882352941</v>
      </c>
    </row>
    <row r="51" spans="3:9" ht="15" x14ac:dyDescent="0.3">
      <c r="C51" s="1" t="s">
        <v>40</v>
      </c>
      <c r="D51">
        <v>5</v>
      </c>
      <c r="E51">
        <f>D51/68</f>
        <v>7.3529411764705885E-2</v>
      </c>
    </row>
    <row r="52" spans="3:9" x14ac:dyDescent="0.3">
      <c r="D52">
        <f>SUM(D42:D51)</f>
        <v>68</v>
      </c>
    </row>
  </sheetData>
  <mergeCells count="1">
    <mergeCell ref="A1:X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prasad</dc:creator>
  <cp:lastModifiedBy>rudra prasad</cp:lastModifiedBy>
  <dcterms:created xsi:type="dcterms:W3CDTF">2024-03-23T09:47:30Z</dcterms:created>
  <dcterms:modified xsi:type="dcterms:W3CDTF">2024-03-23T11:27:20Z</dcterms:modified>
</cp:coreProperties>
</file>